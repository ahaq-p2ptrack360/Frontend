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2P Track\Downloads\my pc\Downloads\formats\"/>
    </mc:Choice>
  </mc:AlternateContent>
  <xr:revisionPtr revIDLastSave="0" documentId="13_ncr:1_{E666FEFA-50F3-427C-932F-14CB387AB38D}" xr6:coauthVersionLast="47" xr6:coauthVersionMax="47" xr10:uidLastSave="{00000000-0000-0000-0000-000000000000}"/>
  <bookViews>
    <workbookView xWindow="2895" yWindow="480" windowWidth="15375" windowHeight="7470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</calcChain>
</file>

<file path=xl/sharedStrings.xml><?xml version="1.0" encoding="utf-8"?>
<sst xmlns="http://schemas.openxmlformats.org/spreadsheetml/2006/main" count="464" uniqueCount="183">
  <si>
    <t>John Williams</t>
  </si>
  <si>
    <t>john.williams@techsolutions.com</t>
  </si>
  <si>
    <t>123 Tech Street</t>
  </si>
  <si>
    <t>Suite 101</t>
  </si>
  <si>
    <t>Sarah Johnson</t>
  </si>
  <si>
    <t>sarah.johnson@globalinnovations.com</t>
  </si>
  <si>
    <t>456 Innovation Blvd</t>
  </si>
  <si>
    <t>Building A</t>
  </si>
  <si>
    <t>Michael Brown</t>
  </si>
  <si>
    <t>michael.brown@digitaldynamics.com</t>
  </si>
  <si>
    <t>789 Digital Avenue</t>
  </si>
  <si>
    <t>Floor 3</t>
  </si>
  <si>
    <t>Emma Davis</t>
  </si>
  <si>
    <t>emma.davis@cloudsystems.com</t>
  </si>
  <si>
    <t>101 Cloud Drive</t>
  </si>
  <si>
    <t>Unit 202</t>
  </si>
  <si>
    <t>David Wilson</t>
  </si>
  <si>
    <t>david.wilson@dataanalytics.com</t>
  </si>
  <si>
    <t>202 Data Lane</t>
  </si>
  <si>
    <t>Office 303</t>
  </si>
  <si>
    <t>Olivia Taylor</t>
  </si>
  <si>
    <t>olivia.taylor@techsolutions.com</t>
  </si>
  <si>
    <t>Suite 201</t>
  </si>
  <si>
    <t>James Anderson</t>
  </si>
  <si>
    <t>james.anderson@globalinnovations.com</t>
  </si>
  <si>
    <t>Building B</t>
  </si>
  <si>
    <t>Sophia Thomas</t>
  </si>
  <si>
    <t>sophia.thomas@digitaldynamics.com</t>
  </si>
  <si>
    <t>Floor 5</t>
  </si>
  <si>
    <t>Robert Jackson</t>
  </si>
  <si>
    <t>robert.jackson@cloudsystems.com</t>
  </si>
  <si>
    <t>Unit 404</t>
  </si>
  <si>
    <t>Jennifer White</t>
  </si>
  <si>
    <t>jennifer.white@dataanalytics.com</t>
  </si>
  <si>
    <t>Office 505</t>
  </si>
  <si>
    <t>William Harris</t>
  </si>
  <si>
    <t>william.harris@techsolutions.com</t>
  </si>
  <si>
    <t>Suite 102</t>
  </si>
  <si>
    <t>Elizabeth Martin</t>
  </si>
  <si>
    <t>elizabeth.martin@globalinnovations.com</t>
  </si>
  <si>
    <t>Building C</t>
  </si>
  <si>
    <t>Christopher Thompson</t>
  </si>
  <si>
    <t>christopher.thompson@digitaldynamics.com</t>
  </si>
  <si>
    <t>Floor 2</t>
  </si>
  <si>
    <t>Amanda Garcia</t>
  </si>
  <si>
    <t>amanda.garcia@cloudsystems.com</t>
  </si>
  <si>
    <t>Unit 303</t>
  </si>
  <si>
    <t>Matthew Martinez</t>
  </si>
  <si>
    <t>matthew.martinez@dataanalytics.com</t>
  </si>
  <si>
    <t>Office 404</t>
  </si>
  <si>
    <t>Jessica Robinson</t>
  </si>
  <si>
    <t>jessica.robinson@techsolutions.com</t>
  </si>
  <si>
    <t>Suite 303</t>
  </si>
  <si>
    <t>Daniel Clark</t>
  </si>
  <si>
    <t>daniel.clark@globalinnovations.com</t>
  </si>
  <si>
    <t>Building D</t>
  </si>
  <si>
    <t>Michelle Rodriguez</t>
  </si>
  <si>
    <t>michelle.rodriguez@digitaldynamics.com</t>
  </si>
  <si>
    <t>Floor 4</t>
  </si>
  <si>
    <t>Anthony Lewis</t>
  </si>
  <si>
    <t>anthony.lewis@cloudsystems.com</t>
  </si>
  <si>
    <t>Unit 505</t>
  </si>
  <si>
    <t>Nicole Lee</t>
  </si>
  <si>
    <t>nicole.lee@dataanalytics.com</t>
  </si>
  <si>
    <t>Office 606</t>
  </si>
  <si>
    <t>Brian Walker</t>
  </si>
  <si>
    <t>brian.walker@techsolutions.com</t>
  </si>
  <si>
    <t>Suite 401</t>
  </si>
  <si>
    <t>Ashley Hall</t>
  </si>
  <si>
    <t>ashley.hall@globalinnovations.com</t>
  </si>
  <si>
    <t>Building E</t>
  </si>
  <si>
    <t>Kevin Allen</t>
  </si>
  <si>
    <t>kevin.allen@digitaldynamics.com</t>
  </si>
  <si>
    <t>Floor 6</t>
  </si>
  <si>
    <t>Stephanie Young</t>
  </si>
  <si>
    <t>stephanie.young@cloudsystems.com</t>
  </si>
  <si>
    <t>Unit 606</t>
  </si>
  <si>
    <t>Edward Hernandez</t>
  </si>
  <si>
    <t>edward.hernandez@dataanalytics.com</t>
  </si>
  <si>
    <t>Office 707</t>
  </si>
  <si>
    <t>Melissa King</t>
  </si>
  <si>
    <t>melissa.king@techsolutions.com</t>
  </si>
  <si>
    <t>Suite 105</t>
  </si>
  <si>
    <t>Steven Wright</t>
  </si>
  <si>
    <t>steven.wright@globalinnovations.com</t>
  </si>
  <si>
    <t>Building F</t>
  </si>
  <si>
    <t>Laura Lopez</t>
  </si>
  <si>
    <t>laura.lopez@digitaldynamics.com</t>
  </si>
  <si>
    <t>Floor 7</t>
  </si>
  <si>
    <t>Thomas Scott</t>
  </si>
  <si>
    <t>thomas.scott@cloudsystems.com</t>
  </si>
  <si>
    <t>Unit 707</t>
  </si>
  <si>
    <t>Samantha Green</t>
  </si>
  <si>
    <t>samantha.green@dataanalytics.com</t>
  </si>
  <si>
    <t>Office 808</t>
  </si>
  <si>
    <t>Andrew Adams</t>
  </si>
  <si>
    <t>andrew.adams@techsolutions.com</t>
  </si>
  <si>
    <t>Suite 206</t>
  </si>
  <si>
    <t>Rebecca Baker</t>
  </si>
  <si>
    <t>rebecca.baker@globalinnovations.com</t>
  </si>
  <si>
    <t>Building G</t>
  </si>
  <si>
    <t>Joshua Gonzalez</t>
  </si>
  <si>
    <t>joshua.gonzalez@digitaldynamics.com</t>
  </si>
  <si>
    <t>Floor 8</t>
  </si>
  <si>
    <t>Heather Nelson</t>
  </si>
  <si>
    <t>heather.nelson@cloudsystems.com</t>
  </si>
  <si>
    <t>Unit 808</t>
  </si>
  <si>
    <t>Ryan Carter</t>
  </si>
  <si>
    <t>ryan.carter@dataanalytics.com</t>
  </si>
  <si>
    <t>Office 909</t>
  </si>
  <si>
    <t>Tiffany Mitchell</t>
  </si>
  <si>
    <t>tiffany.mitchell@techsolutions.com</t>
  </si>
  <si>
    <t>Suite 307</t>
  </si>
  <si>
    <t>Nicholas Perez</t>
  </si>
  <si>
    <t>nicholas.perez@globalinnovations.com</t>
  </si>
  <si>
    <t>Building H</t>
  </si>
  <si>
    <t>Christina Roberts</t>
  </si>
  <si>
    <t>christina.roberts@digitaldynamics.com</t>
  </si>
  <si>
    <t>Floor 9</t>
  </si>
  <si>
    <t>Jeffrey Turner</t>
  </si>
  <si>
    <t>jeffrey.turner@cloudsystems.com</t>
  </si>
  <si>
    <t>Unit 909</t>
  </si>
  <si>
    <t>Megan Phillips</t>
  </si>
  <si>
    <t>megan.phillips@dataanalytics.com</t>
  </si>
  <si>
    <t>Office 1010</t>
  </si>
  <si>
    <t>Benjamin Campbell</t>
  </si>
  <si>
    <t>benjamin.campbell@techsolutions.com</t>
  </si>
  <si>
    <t>Suite 408</t>
  </si>
  <si>
    <t>Rachel Parker</t>
  </si>
  <si>
    <t>rachel.parker@globalinnovations.com</t>
  </si>
  <si>
    <t>Building I</t>
  </si>
  <si>
    <t>Kyle Evans</t>
  </si>
  <si>
    <t>kyle.evans@digitaldynamics.com</t>
  </si>
  <si>
    <t>Floor 10</t>
  </si>
  <si>
    <t>Lauren Edwards</t>
  </si>
  <si>
    <t>lauren.edwards@cloudsystems.com</t>
  </si>
  <si>
    <t>Unit 1010</t>
  </si>
  <si>
    <t>Jonathan Collins</t>
  </si>
  <si>
    <t>jonathan.collins@dataanalytics.com</t>
  </si>
  <si>
    <t>Office 1111</t>
  </si>
  <si>
    <t>Danielle Stewart</t>
  </si>
  <si>
    <t>danielle.stewart@techsolutions.com</t>
  </si>
  <si>
    <t>Suite 509</t>
  </si>
  <si>
    <t>Alexander Sanchez</t>
  </si>
  <si>
    <t>alexander.sanchez@globalinnovations.com</t>
  </si>
  <si>
    <t>Building J</t>
  </si>
  <si>
    <t>Victoria Morris</t>
  </si>
  <si>
    <t>victoria.morris@digitaldynamics.com</t>
  </si>
  <si>
    <t>Floor 11</t>
  </si>
  <si>
    <t>Peter Rogers</t>
  </si>
  <si>
    <t>peter.rogers@cloudsystems.com</t>
  </si>
  <si>
    <t>Unit 1111</t>
  </si>
  <si>
    <t>Brittany Reed</t>
  </si>
  <si>
    <t>brittany.reed@dataanalytics.com</t>
  </si>
  <si>
    <t>Office 1212</t>
  </si>
  <si>
    <t>New York</t>
  </si>
  <si>
    <t>NY</t>
  </si>
  <si>
    <t>USA</t>
  </si>
  <si>
    <t>Yes</t>
  </si>
  <si>
    <t>Los Angeles</t>
  </si>
  <si>
    <t>CA</t>
  </si>
  <si>
    <t>No</t>
  </si>
  <si>
    <t>Chicago</t>
  </si>
  <si>
    <t>IL</t>
  </si>
  <si>
    <t>Houston</t>
  </si>
  <si>
    <t>TX</t>
  </si>
  <si>
    <t>Phoenix</t>
  </si>
  <si>
    <t>AZ</t>
  </si>
  <si>
    <t>Company</t>
  </si>
  <si>
    <t>Name</t>
  </si>
  <si>
    <t>Email</t>
  </si>
  <si>
    <t>Phone</t>
  </si>
  <si>
    <t>Alternate Phone</t>
  </si>
  <si>
    <t>Address 1</t>
  </si>
  <si>
    <t>Address 2</t>
  </si>
  <si>
    <t>Latitude</t>
  </si>
  <si>
    <t>Longitude</t>
  </si>
  <si>
    <t>City</t>
  </si>
  <si>
    <t>State</t>
  </si>
  <si>
    <t>Country</t>
  </si>
  <si>
    <t>Zipcode</t>
  </si>
  <si>
    <t>Vendor</t>
  </si>
  <si>
    <t>Tech Solutions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</si>
</sst>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D51" sqref="D51"/>
    </sheetView>
  </sheetViews>
  <sheetFormatPr defaultRowHeight="15" x14ac:dyDescent="0.25"/>
  <cols>
    <col min="1" max="1" width="17" bestFit="1" customWidth="1"/>
    <col min="2" max="2" width="13.5703125" customWidth="1"/>
    <col min="3" max="3" width="26.42578125" bestFit="1" customWidth="1"/>
    <col min="4" max="4" width="12.5703125" customWidth="1"/>
    <col min="5" max="5" width="15.7109375" bestFit="1" customWidth="1"/>
    <col min="6" max="6" width="9.7109375" customWidth="1"/>
    <col min="9" max="9" width="11.7109375" bestFit="1" customWidth="1"/>
  </cols>
  <sheetData>
    <row r="1" spans="1:14" x14ac:dyDescent="0.25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</row>
    <row r="2" spans="1:14" x14ac:dyDescent="0.25">
      <c r="A2" t="s">
        <v>182</v>
      </c>
      <c r="B2" t="s">
        <v>0</v>
      </c>
      <c r="C2" s="1" t="s">
        <v>1</v>
      </c>
      <c r="D2">
        <f>1-555-123-4567</f>
        <v>-5244</v>
      </c>
      <c r="E2">
        <f>1-555-987-6543</f>
        <v>-8084</v>
      </c>
      <c r="F2" t="s">
        <v>2</v>
      </c>
      <c r="G2" t="s">
        <v>3</v>
      </c>
      <c r="H2">
        <v>40.712775999999998</v>
      </c>
      <c r="I2">
        <v>-74.005973999999995</v>
      </c>
      <c r="J2" t="s">
        <v>155</v>
      </c>
      <c r="K2" t="s">
        <v>156</v>
      </c>
      <c r="L2" t="s">
        <v>157</v>
      </c>
      <c r="M2">
        <v>10001</v>
      </c>
      <c r="N2" t="s">
        <v>158</v>
      </c>
    </row>
    <row r="3" spans="1:14" x14ac:dyDescent="0.25">
      <c r="A3" t="s">
        <v>182</v>
      </c>
      <c r="B3" t="s">
        <v>4</v>
      </c>
      <c r="C3" s="1" t="s">
        <v>5</v>
      </c>
      <c r="D3">
        <f>1-555-234-5678</f>
        <v>-6466</v>
      </c>
      <c r="E3">
        <f>1-555-876-5432</f>
        <v>-6862</v>
      </c>
      <c r="F3" t="s">
        <v>6</v>
      </c>
      <c r="G3" t="s">
        <v>7</v>
      </c>
      <c r="H3">
        <v>34.052235000000003</v>
      </c>
      <c r="I3">
        <v>-118.243683</v>
      </c>
      <c r="J3" t="s">
        <v>159</v>
      </c>
      <c r="K3" t="s">
        <v>160</v>
      </c>
      <c r="L3" t="s">
        <v>157</v>
      </c>
      <c r="M3">
        <v>90001</v>
      </c>
      <c r="N3" t="s">
        <v>161</v>
      </c>
    </row>
    <row r="4" spans="1:14" x14ac:dyDescent="0.25">
      <c r="A4" t="s">
        <v>182</v>
      </c>
      <c r="B4" t="s">
        <v>8</v>
      </c>
      <c r="C4" s="1" t="s">
        <v>9</v>
      </c>
      <c r="D4">
        <f>1-555-345-6789</f>
        <v>-7688</v>
      </c>
      <c r="E4">
        <f>1-555-765-4321</f>
        <v>-5640</v>
      </c>
      <c r="F4" t="s">
        <v>10</v>
      </c>
      <c r="G4" t="s">
        <v>11</v>
      </c>
      <c r="H4">
        <v>41.878112999999999</v>
      </c>
      <c r="I4">
        <v>-87.629799000000006</v>
      </c>
      <c r="J4" t="s">
        <v>162</v>
      </c>
      <c r="K4" t="s">
        <v>163</v>
      </c>
      <c r="L4" t="s">
        <v>157</v>
      </c>
      <c r="M4">
        <v>60601</v>
      </c>
      <c r="N4" t="s">
        <v>158</v>
      </c>
    </row>
    <row r="5" spans="1:14" x14ac:dyDescent="0.25">
      <c r="A5" t="s">
        <v>182</v>
      </c>
      <c r="B5" t="s">
        <v>12</v>
      </c>
      <c r="C5" s="1" t="s">
        <v>13</v>
      </c>
      <c r="D5">
        <f>1-555-456-7890</f>
        <v>-8900</v>
      </c>
      <c r="E5">
        <f>1-555-654-3210</f>
        <v>-4418</v>
      </c>
      <c r="F5" t="s">
        <v>14</v>
      </c>
      <c r="G5" t="s">
        <v>15</v>
      </c>
      <c r="H5">
        <v>29.760427</v>
      </c>
      <c r="I5">
        <v>-95.369804000000002</v>
      </c>
      <c r="J5" t="s">
        <v>164</v>
      </c>
      <c r="K5" t="s">
        <v>165</v>
      </c>
      <c r="L5" t="s">
        <v>157</v>
      </c>
      <c r="M5">
        <v>77001</v>
      </c>
      <c r="N5" t="s">
        <v>161</v>
      </c>
    </row>
    <row r="6" spans="1:14" x14ac:dyDescent="0.25">
      <c r="A6" t="s">
        <v>182</v>
      </c>
      <c r="B6" t="s">
        <v>16</v>
      </c>
      <c r="C6" t="s">
        <v>17</v>
      </c>
      <c r="D6">
        <f>1-555-567-8901</f>
        <v>-10022</v>
      </c>
      <c r="E6">
        <f>1-555-543-2109</f>
        <v>-3206</v>
      </c>
      <c r="F6" t="s">
        <v>18</v>
      </c>
      <c r="G6" t="s">
        <v>19</v>
      </c>
      <c r="H6">
        <v>33.448376000000003</v>
      </c>
      <c r="I6">
        <v>-112.07403600000001</v>
      </c>
      <c r="J6" t="s">
        <v>166</v>
      </c>
      <c r="K6" t="s">
        <v>167</v>
      </c>
      <c r="L6" t="s">
        <v>157</v>
      </c>
      <c r="M6">
        <v>85001</v>
      </c>
      <c r="N6" t="s">
        <v>158</v>
      </c>
    </row>
    <row r="7" spans="1:14" x14ac:dyDescent="0.25">
      <c r="A7" t="s">
        <v>182</v>
      </c>
      <c r="B7" t="s">
        <v>20</v>
      </c>
      <c r="C7" t="s">
        <v>21</v>
      </c>
      <c r="D7">
        <f>1-555-678-9012</f>
        <v>-10244</v>
      </c>
      <c r="E7">
        <f>1-555-432-1098</f>
        <v>-2084</v>
      </c>
      <c r="F7" t="s">
        <v>2</v>
      </c>
      <c r="G7" t="s">
        <v>22</v>
      </c>
      <c r="H7">
        <v>40.712775999999998</v>
      </c>
      <c r="I7">
        <v>-74.005973999999995</v>
      </c>
      <c r="J7" t="s">
        <v>155</v>
      </c>
      <c r="K7" t="s">
        <v>156</v>
      </c>
      <c r="L7" t="s">
        <v>157</v>
      </c>
      <c r="M7">
        <v>10001</v>
      </c>
      <c r="N7" t="s">
        <v>158</v>
      </c>
    </row>
    <row r="8" spans="1:14" x14ac:dyDescent="0.25">
      <c r="A8" t="s">
        <v>182</v>
      </c>
      <c r="B8" t="s">
        <v>23</v>
      </c>
      <c r="C8" t="s">
        <v>24</v>
      </c>
      <c r="D8">
        <f>1-555-789-123</f>
        <v>-1466</v>
      </c>
      <c r="E8">
        <f>1-555-321-987</f>
        <v>-1862</v>
      </c>
      <c r="F8" t="s">
        <v>6</v>
      </c>
      <c r="G8" t="s">
        <v>25</v>
      </c>
      <c r="H8">
        <v>34.052235000000003</v>
      </c>
      <c r="I8">
        <v>-118.243683</v>
      </c>
      <c r="J8" t="s">
        <v>159</v>
      </c>
      <c r="K8" t="s">
        <v>160</v>
      </c>
      <c r="L8" t="s">
        <v>157</v>
      </c>
      <c r="M8">
        <v>90001</v>
      </c>
      <c r="N8" t="s">
        <v>161</v>
      </c>
    </row>
    <row r="9" spans="1:14" x14ac:dyDescent="0.25">
      <c r="A9" t="s">
        <v>182</v>
      </c>
      <c r="B9" t="s">
        <v>26</v>
      </c>
      <c r="C9" t="s">
        <v>27</v>
      </c>
      <c r="D9">
        <f>1-555-890-1234</f>
        <v>-2678</v>
      </c>
      <c r="E9">
        <f>1-555-210-9876</f>
        <v>-10640</v>
      </c>
      <c r="F9" t="s">
        <v>10</v>
      </c>
      <c r="G9" t="s">
        <v>28</v>
      </c>
      <c r="H9">
        <v>41.878112999999999</v>
      </c>
      <c r="I9">
        <v>-87.629799000000006</v>
      </c>
      <c r="J9" t="s">
        <v>162</v>
      </c>
      <c r="K9" t="s">
        <v>163</v>
      </c>
      <c r="L9" t="s">
        <v>157</v>
      </c>
      <c r="M9">
        <v>60601</v>
      </c>
      <c r="N9" t="s">
        <v>158</v>
      </c>
    </row>
    <row r="10" spans="1:14" x14ac:dyDescent="0.25">
      <c r="A10" t="s">
        <v>182</v>
      </c>
      <c r="B10" t="s">
        <v>29</v>
      </c>
      <c r="C10" t="s">
        <v>30</v>
      </c>
      <c r="D10">
        <f>1-555-901-2345</f>
        <v>-3800</v>
      </c>
      <c r="E10">
        <f>1-555-109-8765</f>
        <v>-9428</v>
      </c>
      <c r="F10" t="s">
        <v>14</v>
      </c>
      <c r="G10" t="s">
        <v>31</v>
      </c>
      <c r="H10">
        <v>29.760427</v>
      </c>
      <c r="I10">
        <v>-95.369804000000002</v>
      </c>
      <c r="J10" t="s">
        <v>164</v>
      </c>
      <c r="K10" t="s">
        <v>165</v>
      </c>
      <c r="L10" t="s">
        <v>157</v>
      </c>
      <c r="M10">
        <v>77001</v>
      </c>
      <c r="N10" t="s">
        <v>161</v>
      </c>
    </row>
    <row r="11" spans="1:14" x14ac:dyDescent="0.25">
      <c r="A11" t="s">
        <v>182</v>
      </c>
      <c r="B11" t="s">
        <v>32</v>
      </c>
      <c r="C11" t="s">
        <v>33</v>
      </c>
      <c r="D11">
        <f>1-555-12-3456</f>
        <v>-4022</v>
      </c>
      <c r="E11">
        <f>1-555-98-7654</f>
        <v>-8306</v>
      </c>
      <c r="F11" t="s">
        <v>18</v>
      </c>
      <c r="G11" t="s">
        <v>34</v>
      </c>
      <c r="H11">
        <v>33.448376000000003</v>
      </c>
      <c r="I11">
        <v>-112.07403600000001</v>
      </c>
      <c r="J11" t="s">
        <v>166</v>
      </c>
      <c r="K11" t="s">
        <v>167</v>
      </c>
      <c r="L11" t="s">
        <v>157</v>
      </c>
      <c r="M11">
        <v>85001</v>
      </c>
      <c r="N11" t="s">
        <v>158</v>
      </c>
    </row>
    <row r="12" spans="1:14" x14ac:dyDescent="0.25">
      <c r="A12" t="s">
        <v>182</v>
      </c>
      <c r="B12" t="s">
        <v>35</v>
      </c>
      <c r="C12" t="s">
        <v>36</v>
      </c>
      <c r="D12">
        <f>1-555-111-2222</f>
        <v>-2887</v>
      </c>
      <c r="E12">
        <f>1-555-999-8888</f>
        <v>-10441</v>
      </c>
      <c r="F12" t="s">
        <v>2</v>
      </c>
      <c r="G12" t="s">
        <v>37</v>
      </c>
      <c r="H12">
        <v>40.712775999999998</v>
      </c>
      <c r="I12">
        <v>-74.005973999999995</v>
      </c>
      <c r="J12" t="s">
        <v>155</v>
      </c>
      <c r="K12" t="s">
        <v>156</v>
      </c>
      <c r="L12" t="s">
        <v>157</v>
      </c>
      <c r="M12">
        <v>10001</v>
      </c>
      <c r="N12" t="s">
        <v>158</v>
      </c>
    </row>
    <row r="13" spans="1:14" x14ac:dyDescent="0.25">
      <c r="A13" t="s">
        <v>182</v>
      </c>
      <c r="B13" t="s">
        <v>38</v>
      </c>
      <c r="C13" t="s">
        <v>39</v>
      </c>
      <c r="D13">
        <f>1-555-222-3333</f>
        <v>-4109</v>
      </c>
      <c r="E13">
        <f>1-555-888-7777</f>
        <v>-9219</v>
      </c>
      <c r="F13" t="s">
        <v>6</v>
      </c>
      <c r="G13" t="s">
        <v>40</v>
      </c>
      <c r="H13">
        <v>34.052235000000003</v>
      </c>
      <c r="I13">
        <v>-118.243683</v>
      </c>
      <c r="J13" t="s">
        <v>159</v>
      </c>
      <c r="K13" t="s">
        <v>160</v>
      </c>
      <c r="L13" t="s">
        <v>157</v>
      </c>
      <c r="M13">
        <v>90001</v>
      </c>
      <c r="N13" t="s">
        <v>161</v>
      </c>
    </row>
    <row r="14" spans="1:14" x14ac:dyDescent="0.25">
      <c r="A14" t="s">
        <v>182</v>
      </c>
      <c r="B14" t="s">
        <v>41</v>
      </c>
      <c r="C14" t="s">
        <v>42</v>
      </c>
      <c r="D14">
        <f>1-555-333-4444</f>
        <v>-5331</v>
      </c>
      <c r="E14">
        <f>1-555-777-6666</f>
        <v>-7997</v>
      </c>
      <c r="F14" t="s">
        <v>10</v>
      </c>
      <c r="G14" t="s">
        <v>43</v>
      </c>
      <c r="H14">
        <v>41.878112999999999</v>
      </c>
      <c r="I14">
        <v>-87.629799000000006</v>
      </c>
      <c r="J14" t="s">
        <v>162</v>
      </c>
      <c r="K14" t="s">
        <v>163</v>
      </c>
      <c r="L14" t="s">
        <v>157</v>
      </c>
      <c r="M14">
        <v>60601</v>
      </c>
      <c r="N14" t="s">
        <v>158</v>
      </c>
    </row>
    <row r="15" spans="1:14" x14ac:dyDescent="0.25">
      <c r="A15" t="s">
        <v>182</v>
      </c>
      <c r="B15" t="s">
        <v>44</v>
      </c>
      <c r="C15" t="s">
        <v>45</v>
      </c>
      <c r="D15">
        <f>1-555-444-5555</f>
        <v>-6553</v>
      </c>
      <c r="E15">
        <f>1-555-666-5555</f>
        <v>-6775</v>
      </c>
      <c r="F15" t="s">
        <v>14</v>
      </c>
      <c r="G15" t="s">
        <v>46</v>
      </c>
      <c r="H15">
        <v>29.760427</v>
      </c>
      <c r="I15">
        <v>-95.369804000000002</v>
      </c>
      <c r="J15" t="s">
        <v>164</v>
      </c>
      <c r="K15" t="s">
        <v>165</v>
      </c>
      <c r="L15" t="s">
        <v>157</v>
      </c>
      <c r="M15">
        <v>77001</v>
      </c>
      <c r="N15" t="s">
        <v>161</v>
      </c>
    </row>
    <row r="16" spans="1:14" x14ac:dyDescent="0.25">
      <c r="A16" t="s">
        <v>182</v>
      </c>
      <c r="B16" t="s">
        <v>47</v>
      </c>
      <c r="C16" t="s">
        <v>48</v>
      </c>
      <c r="D16">
        <f>1-555-555-6666</f>
        <v>-7775</v>
      </c>
      <c r="E16">
        <f>1-555-555-4444</f>
        <v>-5553</v>
      </c>
      <c r="F16" t="s">
        <v>18</v>
      </c>
      <c r="G16" t="s">
        <v>49</v>
      </c>
      <c r="H16">
        <v>33.448376000000003</v>
      </c>
      <c r="I16">
        <v>-112.07403600000001</v>
      </c>
      <c r="J16" t="s">
        <v>166</v>
      </c>
      <c r="K16" t="s">
        <v>167</v>
      </c>
      <c r="L16" t="s">
        <v>157</v>
      </c>
      <c r="M16">
        <v>85001</v>
      </c>
      <c r="N16" t="s">
        <v>158</v>
      </c>
    </row>
    <row r="17" spans="1:14" x14ac:dyDescent="0.25">
      <c r="A17" t="s">
        <v>182</v>
      </c>
      <c r="B17" t="s">
        <v>50</v>
      </c>
      <c r="C17" t="s">
        <v>51</v>
      </c>
      <c r="D17">
        <f>1-555-666-7777</f>
        <v>-8997</v>
      </c>
      <c r="E17">
        <f>1-555-444-3333</f>
        <v>-4331</v>
      </c>
      <c r="F17" t="s">
        <v>2</v>
      </c>
      <c r="G17" t="s">
        <v>52</v>
      </c>
      <c r="H17">
        <v>40.712775999999998</v>
      </c>
      <c r="I17">
        <v>-74.005973999999995</v>
      </c>
      <c r="J17" t="s">
        <v>155</v>
      </c>
      <c r="K17" t="s">
        <v>156</v>
      </c>
      <c r="L17" t="s">
        <v>157</v>
      </c>
      <c r="M17">
        <v>10001</v>
      </c>
      <c r="N17" t="s">
        <v>158</v>
      </c>
    </row>
    <row r="18" spans="1:14" x14ac:dyDescent="0.25">
      <c r="A18" t="s">
        <v>182</v>
      </c>
      <c r="B18" t="s">
        <v>53</v>
      </c>
      <c r="C18" t="s">
        <v>54</v>
      </c>
      <c r="D18">
        <f>1-555-777-8888</f>
        <v>-10219</v>
      </c>
      <c r="E18">
        <f>1-555-333-2222</f>
        <v>-3109</v>
      </c>
      <c r="F18" t="s">
        <v>6</v>
      </c>
      <c r="G18" t="s">
        <v>55</v>
      </c>
      <c r="H18">
        <v>34.052235000000003</v>
      </c>
      <c r="I18">
        <v>-118.243683</v>
      </c>
      <c r="J18" t="s">
        <v>159</v>
      </c>
      <c r="K18" t="s">
        <v>160</v>
      </c>
      <c r="L18" t="s">
        <v>157</v>
      </c>
      <c r="M18">
        <v>90001</v>
      </c>
      <c r="N18" t="s">
        <v>161</v>
      </c>
    </row>
    <row r="19" spans="1:14" x14ac:dyDescent="0.25">
      <c r="A19" t="s">
        <v>182</v>
      </c>
      <c r="B19" t="s">
        <v>56</v>
      </c>
      <c r="C19" t="s">
        <v>57</v>
      </c>
      <c r="D19">
        <f>1-555-888-9999</f>
        <v>-11441</v>
      </c>
      <c r="E19">
        <f>1-555-222-1111</f>
        <v>-1887</v>
      </c>
      <c r="F19" t="s">
        <v>10</v>
      </c>
      <c r="G19" t="s">
        <v>58</v>
      </c>
      <c r="H19">
        <v>41.878112999999999</v>
      </c>
      <c r="I19">
        <v>-87.629799000000006</v>
      </c>
      <c r="J19" t="s">
        <v>162</v>
      </c>
      <c r="K19" t="s">
        <v>163</v>
      </c>
      <c r="L19" t="s">
        <v>157</v>
      </c>
      <c r="M19">
        <v>60601</v>
      </c>
      <c r="N19" t="s">
        <v>158</v>
      </c>
    </row>
    <row r="20" spans="1:14" x14ac:dyDescent="0.25">
      <c r="A20" t="s">
        <v>182</v>
      </c>
      <c r="B20" t="s">
        <v>59</v>
      </c>
      <c r="C20" t="s">
        <v>60</v>
      </c>
      <c r="D20">
        <f>1-555-999-0</f>
        <v>-1553</v>
      </c>
      <c r="E20">
        <f>1-555-111-0</f>
        <v>-665</v>
      </c>
      <c r="F20" t="s">
        <v>14</v>
      </c>
      <c r="G20" t="s">
        <v>61</v>
      </c>
      <c r="H20">
        <v>29.760427</v>
      </c>
      <c r="I20">
        <v>-95.369804000000002</v>
      </c>
      <c r="J20" t="s">
        <v>164</v>
      </c>
      <c r="K20" t="s">
        <v>165</v>
      </c>
      <c r="L20" t="s">
        <v>157</v>
      </c>
      <c r="M20">
        <v>77001</v>
      </c>
      <c r="N20" t="s">
        <v>161</v>
      </c>
    </row>
    <row r="21" spans="1:14" x14ac:dyDescent="0.25">
      <c r="A21" t="s">
        <v>182</v>
      </c>
      <c r="B21" t="s">
        <v>62</v>
      </c>
      <c r="C21" t="s">
        <v>63</v>
      </c>
      <c r="D21">
        <f>1-555-0-1111</f>
        <v>-1665</v>
      </c>
      <c r="E21">
        <f>1-555-0-9999</f>
        <v>-10553</v>
      </c>
      <c r="F21" t="s">
        <v>18</v>
      </c>
      <c r="G21" t="s">
        <v>64</v>
      </c>
      <c r="H21">
        <v>33.448376000000003</v>
      </c>
      <c r="I21">
        <v>-112.07403600000001</v>
      </c>
      <c r="J21" t="s">
        <v>166</v>
      </c>
      <c r="K21" t="s">
        <v>167</v>
      </c>
      <c r="L21" t="s">
        <v>157</v>
      </c>
      <c r="M21">
        <v>85001</v>
      </c>
      <c r="N21" t="s">
        <v>158</v>
      </c>
    </row>
    <row r="22" spans="1:14" x14ac:dyDescent="0.25">
      <c r="A22" t="s">
        <v>182</v>
      </c>
      <c r="B22" t="s">
        <v>65</v>
      </c>
      <c r="C22" t="s">
        <v>66</v>
      </c>
      <c r="D22">
        <f>1-555-121-2121</f>
        <v>-2796</v>
      </c>
      <c r="E22">
        <f>1-555-989-8989</f>
        <v>-10532</v>
      </c>
      <c r="F22" t="s">
        <v>2</v>
      </c>
      <c r="G22" t="s">
        <v>67</v>
      </c>
      <c r="H22">
        <v>40.712775999999998</v>
      </c>
      <c r="I22">
        <v>-74.005973999999995</v>
      </c>
      <c r="J22" t="s">
        <v>155</v>
      </c>
      <c r="K22" t="s">
        <v>156</v>
      </c>
      <c r="L22" t="s">
        <v>157</v>
      </c>
      <c r="M22">
        <v>10001</v>
      </c>
      <c r="N22" t="s">
        <v>158</v>
      </c>
    </row>
    <row r="23" spans="1:14" x14ac:dyDescent="0.25">
      <c r="A23" t="s">
        <v>182</v>
      </c>
      <c r="B23" t="s">
        <v>68</v>
      </c>
      <c r="C23" t="s">
        <v>69</v>
      </c>
      <c r="D23">
        <f>1-555-232-3232</f>
        <v>-4018</v>
      </c>
      <c r="E23">
        <f>1-555-878-7878</f>
        <v>-9310</v>
      </c>
      <c r="F23" t="s">
        <v>6</v>
      </c>
      <c r="G23" t="s">
        <v>70</v>
      </c>
      <c r="H23">
        <v>34.052235000000003</v>
      </c>
      <c r="I23">
        <v>-118.243683</v>
      </c>
      <c r="J23" t="s">
        <v>159</v>
      </c>
      <c r="K23" t="s">
        <v>160</v>
      </c>
      <c r="L23" t="s">
        <v>157</v>
      </c>
      <c r="M23">
        <v>90001</v>
      </c>
      <c r="N23" t="s">
        <v>161</v>
      </c>
    </row>
    <row r="24" spans="1:14" x14ac:dyDescent="0.25">
      <c r="A24" t="s">
        <v>182</v>
      </c>
      <c r="B24" t="s">
        <v>71</v>
      </c>
      <c r="C24" t="s">
        <v>72</v>
      </c>
      <c r="D24">
        <f>1-555-343-4343</f>
        <v>-5240</v>
      </c>
      <c r="E24">
        <f>1-555-767-6767</f>
        <v>-8088</v>
      </c>
      <c r="F24" t="s">
        <v>10</v>
      </c>
      <c r="G24" t="s">
        <v>73</v>
      </c>
      <c r="H24">
        <v>41.878112999999999</v>
      </c>
      <c r="I24">
        <v>-87.629799000000006</v>
      </c>
      <c r="J24" t="s">
        <v>162</v>
      </c>
      <c r="K24" t="s">
        <v>163</v>
      </c>
      <c r="L24" t="s">
        <v>157</v>
      </c>
      <c r="M24">
        <v>60601</v>
      </c>
      <c r="N24" t="s">
        <v>158</v>
      </c>
    </row>
    <row r="25" spans="1:14" x14ac:dyDescent="0.25">
      <c r="A25" t="s">
        <v>182</v>
      </c>
      <c r="B25" t="s">
        <v>74</v>
      </c>
      <c r="C25" t="s">
        <v>75</v>
      </c>
      <c r="D25">
        <f>1-555-454-5454</f>
        <v>-6462</v>
      </c>
      <c r="E25">
        <f>1-555-656-5656</f>
        <v>-6866</v>
      </c>
      <c r="F25" t="s">
        <v>14</v>
      </c>
      <c r="G25" t="s">
        <v>76</v>
      </c>
      <c r="H25">
        <v>29.760427</v>
      </c>
      <c r="I25">
        <v>-95.369804000000002</v>
      </c>
      <c r="J25" t="s">
        <v>164</v>
      </c>
      <c r="K25" t="s">
        <v>165</v>
      </c>
      <c r="L25" t="s">
        <v>157</v>
      </c>
      <c r="M25">
        <v>77001</v>
      </c>
      <c r="N25" t="s">
        <v>161</v>
      </c>
    </row>
    <row r="26" spans="1:14" x14ac:dyDescent="0.25">
      <c r="A26" t="s">
        <v>182</v>
      </c>
      <c r="B26" t="s">
        <v>77</v>
      </c>
      <c r="C26" t="s">
        <v>78</v>
      </c>
      <c r="D26">
        <f>1-555-565-6565</f>
        <v>-7684</v>
      </c>
      <c r="E26">
        <f>1-555-545-4545</f>
        <v>-5644</v>
      </c>
      <c r="F26" t="s">
        <v>18</v>
      </c>
      <c r="G26" t="s">
        <v>79</v>
      </c>
      <c r="H26">
        <v>33.448376000000003</v>
      </c>
      <c r="I26">
        <v>-112.07403600000001</v>
      </c>
      <c r="J26" t="s">
        <v>166</v>
      </c>
      <c r="K26" t="s">
        <v>167</v>
      </c>
      <c r="L26" t="s">
        <v>157</v>
      </c>
      <c r="M26">
        <v>85001</v>
      </c>
      <c r="N26" t="s">
        <v>158</v>
      </c>
    </row>
    <row r="27" spans="1:14" x14ac:dyDescent="0.25">
      <c r="A27" t="s">
        <v>182</v>
      </c>
      <c r="B27" t="s">
        <v>80</v>
      </c>
      <c r="C27" t="s">
        <v>81</v>
      </c>
      <c r="D27">
        <f>1-555-676-7676</f>
        <v>-8906</v>
      </c>
      <c r="E27">
        <f>1-555-434-3434</f>
        <v>-4422</v>
      </c>
      <c r="F27" t="s">
        <v>2</v>
      </c>
      <c r="G27" t="s">
        <v>82</v>
      </c>
      <c r="H27">
        <v>40.712775999999998</v>
      </c>
      <c r="I27">
        <v>-74.005973999999995</v>
      </c>
      <c r="J27" t="s">
        <v>155</v>
      </c>
      <c r="K27" t="s">
        <v>156</v>
      </c>
      <c r="L27" t="s">
        <v>157</v>
      </c>
      <c r="M27">
        <v>10001</v>
      </c>
      <c r="N27" t="s">
        <v>158</v>
      </c>
    </row>
    <row r="28" spans="1:14" x14ac:dyDescent="0.25">
      <c r="A28" t="s">
        <v>182</v>
      </c>
      <c r="B28" t="s">
        <v>83</v>
      </c>
      <c r="C28" t="s">
        <v>84</v>
      </c>
      <c r="D28">
        <f>1-555-787-8787</f>
        <v>-10128</v>
      </c>
      <c r="E28">
        <f>1-555-323-2323</f>
        <v>-3200</v>
      </c>
      <c r="F28" t="s">
        <v>6</v>
      </c>
      <c r="G28" t="s">
        <v>85</v>
      </c>
      <c r="H28">
        <v>34.052235000000003</v>
      </c>
      <c r="I28">
        <v>-118.243683</v>
      </c>
      <c r="J28" t="s">
        <v>159</v>
      </c>
      <c r="K28" t="s">
        <v>160</v>
      </c>
      <c r="L28" t="s">
        <v>157</v>
      </c>
      <c r="M28">
        <v>90001</v>
      </c>
      <c r="N28" t="s">
        <v>161</v>
      </c>
    </row>
    <row r="29" spans="1:14" x14ac:dyDescent="0.25">
      <c r="A29" t="s">
        <v>182</v>
      </c>
      <c r="B29" t="s">
        <v>86</v>
      </c>
      <c r="C29" t="s">
        <v>87</v>
      </c>
      <c r="D29">
        <f>1-555-898-9898</f>
        <v>-11350</v>
      </c>
      <c r="E29">
        <f>1-555-212-1212</f>
        <v>-1978</v>
      </c>
      <c r="F29" t="s">
        <v>10</v>
      </c>
      <c r="G29" t="s">
        <v>88</v>
      </c>
      <c r="H29">
        <v>41.878112999999999</v>
      </c>
      <c r="I29">
        <v>-87.629799000000006</v>
      </c>
      <c r="J29" t="s">
        <v>162</v>
      </c>
      <c r="K29" t="s">
        <v>163</v>
      </c>
      <c r="L29" t="s">
        <v>157</v>
      </c>
      <c r="M29">
        <v>60601</v>
      </c>
      <c r="N29" t="s">
        <v>158</v>
      </c>
    </row>
    <row r="30" spans="1:14" x14ac:dyDescent="0.25">
      <c r="A30" t="s">
        <v>182</v>
      </c>
      <c r="B30" t="s">
        <v>89</v>
      </c>
      <c r="C30" t="s">
        <v>90</v>
      </c>
      <c r="D30">
        <f>1-555-909-909</f>
        <v>-2372</v>
      </c>
      <c r="E30">
        <f>1-555-101-101</f>
        <v>-756</v>
      </c>
      <c r="F30" t="s">
        <v>14</v>
      </c>
      <c r="G30" t="s">
        <v>91</v>
      </c>
      <c r="H30">
        <v>29.760427</v>
      </c>
      <c r="I30">
        <v>-95.369804000000002</v>
      </c>
      <c r="J30" t="s">
        <v>164</v>
      </c>
      <c r="K30" t="s">
        <v>165</v>
      </c>
      <c r="L30" t="s">
        <v>157</v>
      </c>
      <c r="M30">
        <v>77001</v>
      </c>
      <c r="N30" t="s">
        <v>161</v>
      </c>
    </row>
    <row r="31" spans="1:14" x14ac:dyDescent="0.25">
      <c r="A31" t="s">
        <v>182</v>
      </c>
      <c r="B31" t="s">
        <v>92</v>
      </c>
      <c r="C31" t="s">
        <v>93</v>
      </c>
      <c r="D31">
        <f>1-555-10-1010</f>
        <v>-1574</v>
      </c>
      <c r="E31">
        <f>1-555-90-9090</f>
        <v>-9734</v>
      </c>
      <c r="F31" t="s">
        <v>18</v>
      </c>
      <c r="G31" t="s">
        <v>94</v>
      </c>
      <c r="H31">
        <v>33.448376000000003</v>
      </c>
      <c r="I31">
        <v>-112.07403600000001</v>
      </c>
      <c r="J31" t="s">
        <v>166</v>
      </c>
      <c r="K31" t="s">
        <v>167</v>
      </c>
      <c r="L31" t="s">
        <v>157</v>
      </c>
      <c r="M31">
        <v>85001</v>
      </c>
      <c r="N31" t="s">
        <v>158</v>
      </c>
    </row>
    <row r="32" spans="1:14" x14ac:dyDescent="0.25">
      <c r="A32" t="s">
        <v>182</v>
      </c>
      <c r="B32" t="s">
        <v>95</v>
      </c>
      <c r="C32" t="s">
        <v>96</v>
      </c>
      <c r="D32">
        <f>1-555-123-7890</f>
        <v>-8567</v>
      </c>
      <c r="E32">
        <f>1-555-987-123</f>
        <v>-1664</v>
      </c>
      <c r="F32" t="s">
        <v>2</v>
      </c>
      <c r="G32" t="s">
        <v>97</v>
      </c>
      <c r="H32">
        <v>40.712775999999998</v>
      </c>
      <c r="I32">
        <v>-74.005973999999995</v>
      </c>
      <c r="J32" t="s">
        <v>155</v>
      </c>
      <c r="K32" t="s">
        <v>156</v>
      </c>
      <c r="L32" t="s">
        <v>157</v>
      </c>
      <c r="M32">
        <v>10001</v>
      </c>
      <c r="N32" t="s">
        <v>158</v>
      </c>
    </row>
    <row r="33" spans="1:14" x14ac:dyDescent="0.25">
      <c r="A33" t="s">
        <v>182</v>
      </c>
      <c r="B33" t="s">
        <v>98</v>
      </c>
      <c r="C33" t="s">
        <v>99</v>
      </c>
      <c r="D33">
        <f>1-555-234-8901</f>
        <v>-9689</v>
      </c>
      <c r="E33">
        <f>1-555-876-1234</f>
        <v>-2664</v>
      </c>
      <c r="F33" t="s">
        <v>6</v>
      </c>
      <c r="G33" t="s">
        <v>100</v>
      </c>
      <c r="H33">
        <v>34.052235000000003</v>
      </c>
      <c r="I33">
        <v>-118.243683</v>
      </c>
      <c r="J33" t="s">
        <v>159</v>
      </c>
      <c r="K33" t="s">
        <v>160</v>
      </c>
      <c r="L33" t="s">
        <v>157</v>
      </c>
      <c r="M33">
        <v>90001</v>
      </c>
      <c r="N33" t="s">
        <v>161</v>
      </c>
    </row>
    <row r="34" spans="1:14" x14ac:dyDescent="0.25">
      <c r="A34" t="s">
        <v>182</v>
      </c>
      <c r="B34" t="s">
        <v>101</v>
      </c>
      <c r="C34" t="s">
        <v>102</v>
      </c>
      <c r="D34">
        <f>1-555-345-9012</f>
        <v>-9911</v>
      </c>
      <c r="E34">
        <f>1-555-765-2345</f>
        <v>-3664</v>
      </c>
      <c r="F34" t="s">
        <v>10</v>
      </c>
      <c r="G34" t="s">
        <v>103</v>
      </c>
      <c r="H34">
        <v>41.878112999999999</v>
      </c>
      <c r="I34">
        <v>-87.629799000000006</v>
      </c>
      <c r="J34" t="s">
        <v>162</v>
      </c>
      <c r="K34" t="s">
        <v>163</v>
      </c>
      <c r="L34" t="s">
        <v>157</v>
      </c>
      <c r="M34">
        <v>60601</v>
      </c>
      <c r="N34" t="s">
        <v>158</v>
      </c>
    </row>
    <row r="35" spans="1:14" x14ac:dyDescent="0.25">
      <c r="A35" t="s">
        <v>182</v>
      </c>
      <c r="B35" t="s">
        <v>104</v>
      </c>
      <c r="C35" t="s">
        <v>105</v>
      </c>
      <c r="D35">
        <f>1-555-456-123</f>
        <v>-1133</v>
      </c>
      <c r="E35">
        <f>1-555-654-3456</f>
        <v>-4664</v>
      </c>
      <c r="F35" t="s">
        <v>14</v>
      </c>
      <c r="G35" t="s">
        <v>106</v>
      </c>
      <c r="H35">
        <v>29.760427</v>
      </c>
      <c r="I35">
        <v>-95.369804000000002</v>
      </c>
      <c r="J35" t="s">
        <v>164</v>
      </c>
      <c r="K35" t="s">
        <v>165</v>
      </c>
      <c r="L35" t="s">
        <v>157</v>
      </c>
      <c r="M35">
        <v>77001</v>
      </c>
      <c r="N35" t="s">
        <v>161</v>
      </c>
    </row>
    <row r="36" spans="1:14" x14ac:dyDescent="0.25">
      <c r="A36" t="s">
        <v>182</v>
      </c>
      <c r="B36" t="s">
        <v>107</v>
      </c>
      <c r="C36" t="s">
        <v>108</v>
      </c>
      <c r="D36">
        <f>1-555-567-1234</f>
        <v>-2355</v>
      </c>
      <c r="E36">
        <f>1-555-543-4567</f>
        <v>-5664</v>
      </c>
      <c r="F36" t="s">
        <v>18</v>
      </c>
      <c r="G36" t="s">
        <v>109</v>
      </c>
      <c r="H36">
        <v>33.448376000000003</v>
      </c>
      <c r="I36">
        <v>-112.07403600000001</v>
      </c>
      <c r="J36" t="s">
        <v>166</v>
      </c>
      <c r="K36" t="s">
        <v>167</v>
      </c>
      <c r="L36" t="s">
        <v>157</v>
      </c>
      <c r="M36">
        <v>85001</v>
      </c>
      <c r="N36" t="s">
        <v>158</v>
      </c>
    </row>
    <row r="37" spans="1:14" x14ac:dyDescent="0.25">
      <c r="A37" t="s">
        <v>182</v>
      </c>
      <c r="B37" t="s">
        <v>110</v>
      </c>
      <c r="C37" t="s">
        <v>111</v>
      </c>
      <c r="D37">
        <f>1-555-678-2345</f>
        <v>-3577</v>
      </c>
      <c r="E37">
        <f>1-555-432-5678</f>
        <v>-6664</v>
      </c>
      <c r="F37" t="s">
        <v>2</v>
      </c>
      <c r="G37" t="s">
        <v>112</v>
      </c>
      <c r="H37">
        <v>40.712775999999998</v>
      </c>
      <c r="I37">
        <v>-74.005973999999995</v>
      </c>
      <c r="J37" t="s">
        <v>155</v>
      </c>
      <c r="K37" t="s">
        <v>156</v>
      </c>
      <c r="L37" t="s">
        <v>157</v>
      </c>
      <c r="M37">
        <v>10001</v>
      </c>
      <c r="N37" t="s">
        <v>158</v>
      </c>
    </row>
    <row r="38" spans="1:14" x14ac:dyDescent="0.25">
      <c r="A38" t="s">
        <v>182</v>
      </c>
      <c r="B38" t="s">
        <v>113</v>
      </c>
      <c r="C38" t="s">
        <v>114</v>
      </c>
      <c r="D38">
        <f>1-555-789-3456</f>
        <v>-4799</v>
      </c>
      <c r="E38">
        <f>1-555-321-6789</f>
        <v>-7664</v>
      </c>
      <c r="F38" t="s">
        <v>6</v>
      </c>
      <c r="G38" t="s">
        <v>115</v>
      </c>
      <c r="H38">
        <v>34.052235000000003</v>
      </c>
      <c r="I38">
        <v>-118.243683</v>
      </c>
      <c r="J38" t="s">
        <v>159</v>
      </c>
      <c r="K38" t="s">
        <v>160</v>
      </c>
      <c r="L38" t="s">
        <v>157</v>
      </c>
      <c r="M38">
        <v>90001</v>
      </c>
      <c r="N38" t="s">
        <v>161</v>
      </c>
    </row>
    <row r="39" spans="1:14" x14ac:dyDescent="0.25">
      <c r="A39" t="s">
        <v>182</v>
      </c>
      <c r="B39" t="s">
        <v>116</v>
      </c>
      <c r="C39" t="s">
        <v>117</v>
      </c>
      <c r="D39">
        <f>1-555-890-4567</f>
        <v>-6011</v>
      </c>
      <c r="E39">
        <f>1-555-210-7890</f>
        <v>-8654</v>
      </c>
      <c r="F39" t="s">
        <v>10</v>
      </c>
      <c r="G39" t="s">
        <v>118</v>
      </c>
      <c r="H39">
        <v>41.878112999999999</v>
      </c>
      <c r="I39">
        <v>-87.629799000000006</v>
      </c>
      <c r="J39" t="s">
        <v>162</v>
      </c>
      <c r="K39" t="s">
        <v>163</v>
      </c>
      <c r="L39" t="s">
        <v>157</v>
      </c>
      <c r="M39">
        <v>60601</v>
      </c>
      <c r="N39" t="s">
        <v>158</v>
      </c>
    </row>
    <row r="40" spans="1:14" x14ac:dyDescent="0.25">
      <c r="A40" t="s">
        <v>182</v>
      </c>
      <c r="B40" t="s">
        <v>119</v>
      </c>
      <c r="C40" t="s">
        <v>120</v>
      </c>
      <c r="D40">
        <f>1-555-901-5678</f>
        <v>-7133</v>
      </c>
      <c r="E40">
        <f>1-555-109-8901</f>
        <v>-9564</v>
      </c>
      <c r="F40" t="s">
        <v>14</v>
      </c>
      <c r="G40" t="s">
        <v>121</v>
      </c>
      <c r="H40">
        <v>29.760427</v>
      </c>
      <c r="I40">
        <v>-95.369804000000002</v>
      </c>
      <c r="J40" t="s">
        <v>164</v>
      </c>
      <c r="K40" t="s">
        <v>165</v>
      </c>
      <c r="L40" t="s">
        <v>157</v>
      </c>
      <c r="M40">
        <v>77001</v>
      </c>
      <c r="N40" t="s">
        <v>161</v>
      </c>
    </row>
    <row r="41" spans="1:14" x14ac:dyDescent="0.25">
      <c r="A41" t="s">
        <v>182</v>
      </c>
      <c r="B41" t="s">
        <v>122</v>
      </c>
      <c r="C41" t="s">
        <v>123</v>
      </c>
      <c r="D41">
        <f>1-555-12-6789</f>
        <v>-7355</v>
      </c>
      <c r="E41">
        <f>1-555-98-9012</f>
        <v>-9664</v>
      </c>
      <c r="F41" t="s">
        <v>18</v>
      </c>
      <c r="G41" t="s">
        <v>124</v>
      </c>
      <c r="H41">
        <v>33.448376000000003</v>
      </c>
      <c r="I41">
        <v>-112.07403600000001</v>
      </c>
      <c r="J41" t="s">
        <v>166</v>
      </c>
      <c r="K41" t="s">
        <v>167</v>
      </c>
      <c r="L41" t="s">
        <v>157</v>
      </c>
      <c r="M41">
        <v>85001</v>
      </c>
      <c r="N41" t="s">
        <v>158</v>
      </c>
    </row>
    <row r="42" spans="1:14" x14ac:dyDescent="0.25">
      <c r="A42" t="s">
        <v>182</v>
      </c>
      <c r="B42" t="s">
        <v>125</v>
      </c>
      <c r="C42" t="s">
        <v>126</v>
      </c>
      <c r="D42">
        <f>1-555-135-2468</f>
        <v>-3157</v>
      </c>
      <c r="E42">
        <f>1-555-975-8642</f>
        <v>-10171</v>
      </c>
      <c r="F42" t="s">
        <v>2</v>
      </c>
      <c r="G42" t="s">
        <v>127</v>
      </c>
      <c r="H42">
        <v>40.712775999999998</v>
      </c>
      <c r="I42">
        <v>-74.005973999999995</v>
      </c>
      <c r="J42" t="s">
        <v>155</v>
      </c>
      <c r="K42" t="s">
        <v>156</v>
      </c>
      <c r="L42" t="s">
        <v>157</v>
      </c>
      <c r="M42">
        <v>10001</v>
      </c>
      <c r="N42" t="s">
        <v>158</v>
      </c>
    </row>
    <row r="43" spans="1:14" x14ac:dyDescent="0.25">
      <c r="A43" t="s">
        <v>182</v>
      </c>
      <c r="B43" t="s">
        <v>128</v>
      </c>
      <c r="C43" t="s">
        <v>129</v>
      </c>
      <c r="D43">
        <f>1-555-246-3579</f>
        <v>-4379</v>
      </c>
      <c r="E43">
        <f>1-555-864-9753</f>
        <v>-11171</v>
      </c>
      <c r="F43" t="s">
        <v>6</v>
      </c>
      <c r="G43" t="s">
        <v>130</v>
      </c>
      <c r="H43">
        <v>34.052235000000003</v>
      </c>
      <c r="I43">
        <v>-118.243683</v>
      </c>
      <c r="J43" t="s">
        <v>159</v>
      </c>
      <c r="K43" t="s">
        <v>160</v>
      </c>
      <c r="L43" t="s">
        <v>157</v>
      </c>
      <c r="M43">
        <v>90001</v>
      </c>
      <c r="N43" t="s">
        <v>161</v>
      </c>
    </row>
    <row r="44" spans="1:14" x14ac:dyDescent="0.25">
      <c r="A44" t="s">
        <v>182</v>
      </c>
      <c r="B44" t="s">
        <v>131</v>
      </c>
      <c r="C44" t="s">
        <v>132</v>
      </c>
      <c r="D44">
        <f>1-555-357-4680</f>
        <v>-5591</v>
      </c>
      <c r="E44">
        <f>1-555-753-864</f>
        <v>-2171</v>
      </c>
      <c r="F44" t="s">
        <v>10</v>
      </c>
      <c r="G44" t="s">
        <v>133</v>
      </c>
      <c r="H44">
        <v>41.878112999999999</v>
      </c>
      <c r="I44">
        <v>-87.629799000000006</v>
      </c>
      <c r="J44" t="s">
        <v>162</v>
      </c>
      <c r="K44" t="s">
        <v>163</v>
      </c>
      <c r="L44" t="s">
        <v>157</v>
      </c>
      <c r="M44">
        <v>60601</v>
      </c>
      <c r="N44" t="s">
        <v>158</v>
      </c>
    </row>
    <row r="45" spans="1:14" x14ac:dyDescent="0.25">
      <c r="A45" t="s">
        <v>182</v>
      </c>
      <c r="B45" t="s">
        <v>134</v>
      </c>
      <c r="C45" t="s">
        <v>135</v>
      </c>
      <c r="D45">
        <f>1-555-468-5791</f>
        <v>-6813</v>
      </c>
      <c r="E45">
        <f>1-555-642-1975</f>
        <v>-3171</v>
      </c>
      <c r="F45" t="s">
        <v>14</v>
      </c>
      <c r="G45" t="s">
        <v>136</v>
      </c>
      <c r="H45">
        <v>29.760427</v>
      </c>
      <c r="I45">
        <v>-95.369804000000002</v>
      </c>
      <c r="J45" t="s">
        <v>164</v>
      </c>
      <c r="K45" t="s">
        <v>165</v>
      </c>
      <c r="L45" t="s">
        <v>157</v>
      </c>
      <c r="M45">
        <v>77001</v>
      </c>
      <c r="N45" t="s">
        <v>161</v>
      </c>
    </row>
    <row r="46" spans="1:14" x14ac:dyDescent="0.25">
      <c r="A46" t="s">
        <v>182</v>
      </c>
      <c r="B46" t="s">
        <v>137</v>
      </c>
      <c r="C46" t="s">
        <v>138</v>
      </c>
      <c r="D46">
        <f>1-555-579-6802</f>
        <v>-7935</v>
      </c>
      <c r="E46">
        <f>1-555-531-2086</f>
        <v>-3171</v>
      </c>
      <c r="F46" t="s">
        <v>18</v>
      </c>
      <c r="G46" t="s">
        <v>139</v>
      </c>
      <c r="H46">
        <v>33.448376000000003</v>
      </c>
      <c r="I46">
        <v>-112.07403600000001</v>
      </c>
      <c r="J46" t="s">
        <v>166</v>
      </c>
      <c r="K46" t="s">
        <v>167</v>
      </c>
      <c r="L46" t="s">
        <v>157</v>
      </c>
      <c r="M46">
        <v>85001</v>
      </c>
      <c r="N46" t="s">
        <v>158</v>
      </c>
    </row>
    <row r="47" spans="1:14" x14ac:dyDescent="0.25">
      <c r="A47" t="s">
        <v>182</v>
      </c>
      <c r="B47" t="s">
        <v>140</v>
      </c>
      <c r="C47" t="s">
        <v>141</v>
      </c>
      <c r="D47">
        <f>1-555-680-7913</f>
        <v>-9147</v>
      </c>
      <c r="E47">
        <f>1-555-420-3197</f>
        <v>-4171</v>
      </c>
      <c r="F47" t="s">
        <v>2</v>
      </c>
      <c r="G47" t="s">
        <v>142</v>
      </c>
      <c r="H47">
        <v>40.712775999999998</v>
      </c>
      <c r="I47">
        <v>-74.005973999999995</v>
      </c>
      <c r="J47" t="s">
        <v>155</v>
      </c>
      <c r="K47" t="s">
        <v>156</v>
      </c>
      <c r="L47" t="s">
        <v>157</v>
      </c>
      <c r="M47">
        <v>10001</v>
      </c>
      <c r="N47" t="s">
        <v>158</v>
      </c>
    </row>
    <row r="48" spans="1:14" x14ac:dyDescent="0.25">
      <c r="A48" t="s">
        <v>182</v>
      </c>
      <c r="B48" t="s">
        <v>143</v>
      </c>
      <c r="C48" t="s">
        <v>144</v>
      </c>
      <c r="D48">
        <f>1-555-791-8024</f>
        <v>-9369</v>
      </c>
      <c r="E48">
        <f>1-555-319-4208</f>
        <v>-5081</v>
      </c>
      <c r="F48" t="s">
        <v>6</v>
      </c>
      <c r="G48" t="s">
        <v>145</v>
      </c>
      <c r="H48">
        <v>34.052235000000003</v>
      </c>
      <c r="I48">
        <v>-118.243683</v>
      </c>
      <c r="J48" t="s">
        <v>159</v>
      </c>
      <c r="K48" t="s">
        <v>160</v>
      </c>
      <c r="L48" t="s">
        <v>157</v>
      </c>
      <c r="M48">
        <v>90001</v>
      </c>
      <c r="N48" t="s">
        <v>161</v>
      </c>
    </row>
    <row r="49" spans="1:14" x14ac:dyDescent="0.25">
      <c r="A49" t="s">
        <v>182</v>
      </c>
      <c r="B49" t="s">
        <v>146</v>
      </c>
      <c r="C49" t="s">
        <v>147</v>
      </c>
      <c r="D49">
        <f>1-555-802-9135</f>
        <v>-10491</v>
      </c>
      <c r="E49">
        <f>1-555-208-5319</f>
        <v>-6081</v>
      </c>
      <c r="F49" t="s">
        <v>10</v>
      </c>
      <c r="G49" t="s">
        <v>148</v>
      </c>
      <c r="H49">
        <v>41.878112999999999</v>
      </c>
      <c r="I49">
        <v>-87.629799000000006</v>
      </c>
      <c r="J49" t="s">
        <v>162</v>
      </c>
      <c r="K49" t="s">
        <v>163</v>
      </c>
      <c r="L49" t="s">
        <v>157</v>
      </c>
      <c r="M49">
        <v>60601</v>
      </c>
      <c r="N49" t="s">
        <v>158</v>
      </c>
    </row>
    <row r="50" spans="1:14" x14ac:dyDescent="0.25">
      <c r="A50" t="s">
        <v>182</v>
      </c>
      <c r="B50" t="s">
        <v>149</v>
      </c>
      <c r="C50" t="s">
        <v>150</v>
      </c>
      <c r="D50">
        <f>1-555-913-246</f>
        <v>-1713</v>
      </c>
      <c r="E50">
        <f>1-555-197-6420</f>
        <v>-7171</v>
      </c>
      <c r="F50" t="s">
        <v>14</v>
      </c>
      <c r="G50" t="s">
        <v>151</v>
      </c>
      <c r="H50">
        <v>29.760427</v>
      </c>
      <c r="I50">
        <v>-95.369804000000002</v>
      </c>
      <c r="J50" t="s">
        <v>164</v>
      </c>
      <c r="K50" t="s">
        <v>165</v>
      </c>
      <c r="L50" t="s">
        <v>157</v>
      </c>
      <c r="M50">
        <v>77001</v>
      </c>
      <c r="N50" t="s">
        <v>161</v>
      </c>
    </row>
    <row r="51" spans="1:14" x14ac:dyDescent="0.25">
      <c r="A51" t="s">
        <v>182</v>
      </c>
      <c r="B51" t="s">
        <v>152</v>
      </c>
      <c r="C51" t="s">
        <v>153</v>
      </c>
      <c r="D51">
        <f>1-555-24-1357</f>
        <v>-1935</v>
      </c>
      <c r="E51">
        <f>1-555-86-7531</f>
        <v>-8171</v>
      </c>
      <c r="F51" t="s">
        <v>18</v>
      </c>
      <c r="G51" t="s">
        <v>154</v>
      </c>
      <c r="H51">
        <v>33.448376000000003</v>
      </c>
      <c r="I51">
        <v>-112.07403600000001</v>
      </c>
      <c r="J51" t="s">
        <v>166</v>
      </c>
      <c r="K51" t="s">
        <v>167</v>
      </c>
      <c r="L51" t="s">
        <v>157</v>
      </c>
      <c r="M51">
        <v>85001</v>
      </c>
      <c r="N51" t="s">
        <v>158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P2P Track</cp:lastModifiedBy>
  <dcterms:created xsi:type="dcterms:W3CDTF">2025-04-16T13:31:37Z</dcterms:created>
  <dcterms:modified xsi:type="dcterms:W3CDTF">2025-12-15T14:35:38Z</dcterms:modified>
  <cp:category/>
</cp:coreProperties>
</file>